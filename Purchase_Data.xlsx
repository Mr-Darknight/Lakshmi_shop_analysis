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657"/>
  </bookViews>
  <sheets>
    <sheet name="Sheet1" sheetId="1" r:id="rId1"/>
  </sheets>
  <definedNames>
    <definedName name="_xlnm._FilterDatabase" localSheetId="0" hidden="1">Sheet1!$A$1:$J$101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<sst xmlns="http://schemas.openxmlformats.org/spreadsheetml/2006/main" count="505" uniqueCount="119">
  <si>
    <t>Item_Name</t>
  </si>
  <si>
    <t>Unit</t>
  </si>
  <si>
    <t>Qty</t>
  </si>
  <si>
    <t>Total</t>
  </si>
  <si>
    <t>Category</t>
  </si>
  <si>
    <t>Sub-Category</t>
  </si>
  <si>
    <t>Price</t>
  </si>
  <si>
    <t>Date</t>
  </si>
  <si>
    <t>Month</t>
  </si>
  <si>
    <t>Supplier</t>
  </si>
  <si>
    <t>DM Rice</t>
  </si>
  <si>
    <t>30 kg</t>
  </si>
  <si>
    <t>Rice</t>
  </si>
  <si>
    <t>Selha</t>
  </si>
  <si>
    <t>ram rang dealer</t>
  </si>
  <si>
    <t>seema powder</t>
  </si>
  <si>
    <t>20 kg</t>
  </si>
  <si>
    <t>Sugar</t>
  </si>
  <si>
    <t/>
  </si>
  <si>
    <t>Ashiki</t>
  </si>
  <si>
    <t>1 pkt</t>
  </si>
  <si>
    <t>Tobacco</t>
  </si>
  <si>
    <t>ashiki</t>
  </si>
  <si>
    <t>Arohul</t>
  </si>
  <si>
    <t>15 kg</t>
  </si>
  <si>
    <t>Oil</t>
  </si>
  <si>
    <t>Musturd Oil</t>
  </si>
  <si>
    <t>fortune</t>
  </si>
  <si>
    <t>Refined</t>
  </si>
  <si>
    <t>chana bada</t>
  </si>
  <si>
    <t>Grain</t>
  </si>
  <si>
    <t>chana</t>
  </si>
  <si>
    <t>aata</t>
  </si>
  <si>
    <t>50 kg</t>
  </si>
  <si>
    <t>Flour</t>
  </si>
  <si>
    <t>26 kg</t>
  </si>
  <si>
    <t>chini</t>
  </si>
  <si>
    <t>surajmukhi</t>
  </si>
  <si>
    <t>surjamukhi</t>
  </si>
  <si>
    <t>matar dal</t>
  </si>
  <si>
    <t>tomato sauce</t>
  </si>
  <si>
    <t>Gatta</t>
  </si>
  <si>
    <t>Chinese</t>
  </si>
  <si>
    <t>chilli sauce</t>
  </si>
  <si>
    <t>vinager</t>
  </si>
  <si>
    <t>rajdhani</t>
  </si>
  <si>
    <t>hara rang</t>
  </si>
  <si>
    <t>box</t>
  </si>
  <si>
    <t>Other</t>
  </si>
  <si>
    <t>16 kg</t>
  </si>
  <si>
    <t>Soya</t>
  </si>
  <si>
    <t>10 kg</t>
  </si>
  <si>
    <t>kali daal</t>
  </si>
  <si>
    <t>Urad dal</t>
  </si>
  <si>
    <t>bondi</t>
  </si>
  <si>
    <t>5 kg</t>
  </si>
  <si>
    <t>Patanjali Biscuit</t>
  </si>
  <si>
    <t>Snacks</t>
  </si>
  <si>
    <t>Rava</t>
  </si>
  <si>
    <t>rava</t>
  </si>
  <si>
    <t>Mombati</t>
  </si>
  <si>
    <t>1 kg</t>
  </si>
  <si>
    <t>Ramdana</t>
  </si>
  <si>
    <t>Raddi paper</t>
  </si>
  <si>
    <t>Kamla</t>
  </si>
  <si>
    <t>kamla</t>
  </si>
  <si>
    <t>Jawan Bidi</t>
  </si>
  <si>
    <t>jawan</t>
  </si>
  <si>
    <t>soda</t>
  </si>
  <si>
    <t>Motichur bondi</t>
  </si>
  <si>
    <t>Palki</t>
  </si>
  <si>
    <t>steam</t>
  </si>
  <si>
    <t>kismis</t>
  </si>
  <si>
    <t>Dry Fruit</t>
  </si>
  <si>
    <t>super power</t>
  </si>
  <si>
    <t>chakra</t>
  </si>
  <si>
    <t>2 kg</t>
  </si>
  <si>
    <t>sarsona</t>
  </si>
  <si>
    <t>0.5 kg</t>
  </si>
  <si>
    <t>ravindra</t>
  </si>
  <si>
    <t>BL</t>
  </si>
  <si>
    <t>Kaju</t>
  </si>
  <si>
    <t>bhusi dal</t>
  </si>
  <si>
    <t>Bhusi dal</t>
  </si>
  <si>
    <t>Badam</t>
  </si>
  <si>
    <t>badam</t>
  </si>
  <si>
    <t>R.S</t>
  </si>
  <si>
    <t>Allout</t>
  </si>
  <si>
    <t>chana dal</t>
  </si>
  <si>
    <t>sotha</t>
  </si>
  <si>
    <t>chana chota</t>
  </si>
  <si>
    <t>besan 2nd</t>
  </si>
  <si>
    <t>besan</t>
  </si>
  <si>
    <t>bulet</t>
  </si>
  <si>
    <t>Urad</t>
  </si>
  <si>
    <t>Shyamu trading company</t>
  </si>
  <si>
    <t>besan fort</t>
  </si>
  <si>
    <t>besan fort 500g</t>
  </si>
  <si>
    <t>anjeer</t>
  </si>
  <si>
    <t>walnut</t>
  </si>
  <si>
    <t>pista</t>
  </si>
  <si>
    <t>momfali dana</t>
  </si>
  <si>
    <t>pooja</t>
  </si>
  <si>
    <t>ground nut</t>
  </si>
  <si>
    <t>kapoor</t>
  </si>
  <si>
    <t>majur</t>
  </si>
  <si>
    <t>mansoori</t>
  </si>
  <si>
    <t>rajma</t>
  </si>
  <si>
    <t>matar</t>
  </si>
  <si>
    <t>badshah</t>
  </si>
  <si>
    <t>kabuli</t>
  </si>
  <si>
    <t>super kolhu</t>
  </si>
  <si>
    <t>Soya 15lt</t>
  </si>
  <si>
    <t>soya</t>
  </si>
  <si>
    <t>moong</t>
  </si>
  <si>
    <t>12 kg</t>
  </si>
  <si>
    <t>maida</t>
  </si>
  <si>
    <t>17/03/2026</t>
  </si>
  <si>
    <t>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</si>
</sst>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  <numFmt numFmtId="179" formatCode="dd/mm/yyyy"/>
    <numFmt numFmtId="180" formatCode="dd\-mm\-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179" fontId="0" fillId="0" borderId="0" xfId="0" applyNumberFormat="1"/>
    <xf numFmtId="58" fontId="0" fillId="0" borderId="0" xfId="0" applyNumberForma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01"/>
  <sheetViews>
    <sheetView tabSelected="1" zoomScale="135" zoomScaleNormal="135" workbookViewId="0">
      <selection activeCell="F2" sqref="F2"/>
    </sheetView>
  </sheetViews>
  <sheetFormatPr defaultColWidth="9" defaultRowHeight="14.25"/>
  <cols>
    <col min="1" max="1" width="14.5132743362832" customWidth="1"/>
    <col min="2" max="2" width="6.53097345132743" customWidth="1"/>
    <col min="3" max="3" width="4.38938053097345" customWidth="1"/>
    <col min="4" max="4" width="5.52212389380531" customWidth="1"/>
    <col min="5" max="5" width="8.51327433628319" customWidth="1"/>
    <col min="6" max="6" width="12.2477876106195" customWidth="1"/>
    <col min="7" max="7" width="6.53097345132743" customWidth="1"/>
    <col min="8" max="8" width="10" customWidth="1"/>
    <col min="9" max="9" width="6.85840707964602" customWidth="1"/>
    <col min="10" max="10" width="22.7699115044248" customWidth="1"/>
    <col min="11" max="11" width="5.69026548672566" customWidth="1"/>
    <col min="13" max="13" width="11.8407079646018"/>
    <col min="14" max="19" width="10.4513274336283"/>
    <col min="20" max="20" width="10.84070796460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4</v>
      </c>
      <c r="D2">
        <f>IF(ISNUMBER(SEARCH("kg",B2)),C2*VALUE(LEFT(B2,FIND(" ",B2)-1)),"")</f>
        <v>120</v>
      </c>
      <c r="E2" t="s">
        <v>12</v>
      </c>
      <c r="F2" t="s">
        <v>13</v>
      </c>
      <c r="G2">
        <v>10200</v>
      </c>
      <c r="H2" s="2">
        <v>46068</v>
      </c>
      <c r="I2" s="3" t="str">
        <f>TEXT(H2,"mmm")</f>
        <v>Feb</v>
      </c>
      <c r="J2" t="s">
        <v>14</v>
      </c>
    </row>
    <row r="3" hidden="1" spans="1:10">
      <c r="A3" t="s">
        <v>15</v>
      </c>
      <c r="B3" t="s">
        <v>16</v>
      </c>
      <c r="C3">
        <v>1</v>
      </c>
      <c r="D3">
        <f t="shared" ref="D3:D41" si="0">IF(ISNUMBER(SEARCH("kg",B3)),C3*VALUE(LEFT(B3,FIND(" ",B3)-1)),"")</f>
        <v>20</v>
      </c>
      <c r="E3" t="s">
        <v>17</v>
      </c>
      <c r="F3" t="s">
        <v>18</v>
      </c>
      <c r="G3">
        <v>4400</v>
      </c>
      <c r="H3" s="2">
        <v>46068</v>
      </c>
      <c r="I3" s="3" t="str">
        <f t="shared" ref="I3:I38" si="1">TEXT(H3,"mmm")</f>
        <v>Feb</v>
      </c>
      <c r="J3" t="s">
        <v>14</v>
      </c>
    </row>
    <row r="4" hidden="1" spans="1:10">
      <c r="A4" t="s">
        <v>19</v>
      </c>
      <c r="B4" t="s">
        <v>20</v>
      </c>
      <c r="C4">
        <v>105</v>
      </c>
      <c r="D4" t="str">
        <f t="shared" si="0"/>
        <v/>
      </c>
      <c r="E4" t="s">
        <v>21</v>
      </c>
      <c r="F4" t="s">
        <v>22</v>
      </c>
      <c r="G4">
        <v>8250</v>
      </c>
      <c r="H4" s="2">
        <v>46068</v>
      </c>
      <c r="I4" s="3" t="str">
        <f t="shared" si="1"/>
        <v>Feb</v>
      </c>
      <c r="J4" t="s">
        <v>14</v>
      </c>
    </row>
    <row r="5" hidden="1" spans="1:10">
      <c r="A5" t="s">
        <v>23</v>
      </c>
      <c r="B5" t="s">
        <v>24</v>
      </c>
      <c r="C5">
        <v>2</v>
      </c>
      <c r="D5">
        <f t="shared" si="0"/>
        <v>30</v>
      </c>
      <c r="E5" t="s">
        <v>25</v>
      </c>
      <c r="F5" t="s">
        <v>26</v>
      </c>
      <c r="G5">
        <v>5240</v>
      </c>
      <c r="H5" s="2">
        <v>46068</v>
      </c>
      <c r="I5" s="3" t="str">
        <f t="shared" si="1"/>
        <v>Feb</v>
      </c>
      <c r="J5" t="s">
        <v>14</v>
      </c>
    </row>
    <row r="6" hidden="1" spans="1:10">
      <c r="A6" t="s">
        <v>27</v>
      </c>
      <c r="B6" t="s">
        <v>24</v>
      </c>
      <c r="C6">
        <v>10</v>
      </c>
      <c r="D6">
        <f t="shared" si="0"/>
        <v>150</v>
      </c>
      <c r="E6" t="s">
        <v>25</v>
      </c>
      <c r="F6" t="s">
        <v>28</v>
      </c>
      <c r="G6">
        <v>21400</v>
      </c>
      <c r="H6" s="2">
        <v>46068</v>
      </c>
      <c r="I6" s="3" t="str">
        <f t="shared" si="1"/>
        <v>Feb</v>
      </c>
      <c r="J6" t="s">
        <v>14</v>
      </c>
    </row>
    <row r="7" spans="1:10">
      <c r="A7" t="s">
        <v>29</v>
      </c>
      <c r="B7" t="s">
        <v>11</v>
      </c>
      <c r="C7">
        <v>1</v>
      </c>
      <c r="D7">
        <f t="shared" si="0"/>
        <v>30</v>
      </c>
      <c r="E7" t="s">
        <v>30</v>
      </c>
      <c r="F7" t="s">
        <v>31</v>
      </c>
      <c r="G7">
        <v>2010</v>
      </c>
      <c r="H7" s="2">
        <v>46068</v>
      </c>
      <c r="I7" s="3" t="str">
        <f t="shared" si="1"/>
        <v>Feb</v>
      </c>
      <c r="J7" t="s">
        <v>14</v>
      </c>
    </row>
    <row r="8" hidden="1" spans="1:10">
      <c r="A8" t="s">
        <v>32</v>
      </c>
      <c r="B8" t="s">
        <v>33</v>
      </c>
      <c r="C8">
        <v>2</v>
      </c>
      <c r="D8">
        <f t="shared" si="0"/>
        <v>100</v>
      </c>
      <c r="E8" t="s">
        <v>34</v>
      </c>
      <c r="F8" t="s">
        <v>32</v>
      </c>
      <c r="G8">
        <v>2940</v>
      </c>
      <c r="H8" s="2">
        <v>46068</v>
      </c>
      <c r="I8" s="3" t="str">
        <f t="shared" si="1"/>
        <v>Feb</v>
      </c>
      <c r="J8" t="s">
        <v>14</v>
      </c>
    </row>
    <row r="9" hidden="1" spans="1:10">
      <c r="A9" t="s">
        <v>32</v>
      </c>
      <c r="B9" t="s">
        <v>35</v>
      </c>
      <c r="C9">
        <v>2</v>
      </c>
      <c r="D9">
        <f t="shared" si="0"/>
        <v>52</v>
      </c>
      <c r="E9" t="s">
        <v>34</v>
      </c>
      <c r="F9" t="s">
        <v>32</v>
      </c>
      <c r="G9">
        <v>1570</v>
      </c>
      <c r="H9" s="2">
        <v>46068</v>
      </c>
      <c r="I9" s="3" t="str">
        <f t="shared" si="1"/>
        <v>Feb</v>
      </c>
      <c r="J9" t="s">
        <v>14</v>
      </c>
    </row>
    <row r="10" hidden="1" spans="1:10">
      <c r="A10" t="s">
        <v>36</v>
      </c>
      <c r="B10" t="s">
        <v>33</v>
      </c>
      <c r="C10">
        <v>5</v>
      </c>
      <c r="D10">
        <f t="shared" si="0"/>
        <v>250</v>
      </c>
      <c r="E10" t="s">
        <v>17</v>
      </c>
      <c r="F10" t="s">
        <v>18</v>
      </c>
      <c r="G10">
        <v>10800</v>
      </c>
      <c r="H10" s="2">
        <v>46068</v>
      </c>
      <c r="I10" s="3" t="str">
        <f t="shared" si="1"/>
        <v>Feb</v>
      </c>
      <c r="J10" t="s">
        <v>14</v>
      </c>
    </row>
    <row r="11" hidden="1" spans="1:10">
      <c r="A11" t="s">
        <v>37</v>
      </c>
      <c r="B11" t="s">
        <v>20</v>
      </c>
      <c r="C11">
        <v>110</v>
      </c>
      <c r="D11" t="str">
        <f t="shared" si="0"/>
        <v/>
      </c>
      <c r="E11" t="s">
        <v>21</v>
      </c>
      <c r="F11" t="s">
        <v>38</v>
      </c>
      <c r="G11">
        <v>4150</v>
      </c>
      <c r="H11" s="2">
        <v>46068</v>
      </c>
      <c r="I11" s="3" t="str">
        <f t="shared" si="1"/>
        <v>Feb</v>
      </c>
      <c r="J11" t="s">
        <v>14</v>
      </c>
    </row>
    <row r="12" spans="1:10">
      <c r="A12" t="s">
        <v>39</v>
      </c>
      <c r="B12" t="s">
        <v>11</v>
      </c>
      <c r="C12">
        <v>1</v>
      </c>
      <c r="D12">
        <f t="shared" si="0"/>
        <v>30</v>
      </c>
      <c r="E12" t="s">
        <v>30</v>
      </c>
      <c r="F12" t="s">
        <v>39</v>
      </c>
      <c r="G12">
        <v>1440</v>
      </c>
      <c r="H12" s="2">
        <v>46068</v>
      </c>
      <c r="I12" s="3" t="str">
        <f t="shared" si="1"/>
        <v>Feb</v>
      </c>
      <c r="J12" t="s">
        <v>14</v>
      </c>
    </row>
    <row r="13" hidden="1" spans="1:10">
      <c r="A13" t="s">
        <v>40</v>
      </c>
      <c r="B13" t="s">
        <v>41</v>
      </c>
      <c r="C13">
        <v>1</v>
      </c>
      <c r="D13" t="str">
        <f t="shared" si="0"/>
        <v/>
      </c>
      <c r="E13" t="s">
        <v>42</v>
      </c>
      <c r="F13" t="s">
        <v>18</v>
      </c>
      <c r="G13">
        <v>800</v>
      </c>
      <c r="H13" s="2">
        <v>46068</v>
      </c>
      <c r="I13" s="3" t="str">
        <f t="shared" si="1"/>
        <v>Feb</v>
      </c>
      <c r="J13" t="s">
        <v>14</v>
      </c>
    </row>
    <row r="14" hidden="1" spans="1:10">
      <c r="A14" t="s">
        <v>43</v>
      </c>
      <c r="B14" t="s">
        <v>41</v>
      </c>
      <c r="C14">
        <v>1</v>
      </c>
      <c r="D14" t="str">
        <f t="shared" si="0"/>
        <v/>
      </c>
      <c r="E14" t="s">
        <v>42</v>
      </c>
      <c r="F14" t="s">
        <v>18</v>
      </c>
      <c r="G14">
        <v>780</v>
      </c>
      <c r="H14" s="2">
        <v>46068</v>
      </c>
      <c r="I14" s="3" t="str">
        <f t="shared" si="1"/>
        <v>Feb</v>
      </c>
      <c r="J14" t="s">
        <v>14</v>
      </c>
    </row>
    <row r="15" hidden="1" spans="1:10">
      <c r="A15" t="s">
        <v>44</v>
      </c>
      <c r="B15" t="s">
        <v>41</v>
      </c>
      <c r="C15">
        <v>1</v>
      </c>
      <c r="D15" t="str">
        <f t="shared" si="0"/>
        <v/>
      </c>
      <c r="E15" t="s">
        <v>42</v>
      </c>
      <c r="F15" t="s">
        <v>18</v>
      </c>
      <c r="G15">
        <v>570</v>
      </c>
      <c r="H15" s="2">
        <v>46068</v>
      </c>
      <c r="I15" s="3" t="str">
        <f t="shared" si="1"/>
        <v>Feb</v>
      </c>
      <c r="J15" t="s">
        <v>14</v>
      </c>
    </row>
    <row r="16" spans="1:10">
      <c r="A16" t="s">
        <v>45</v>
      </c>
      <c r="B16" t="s">
        <v>35</v>
      </c>
      <c r="C16">
        <v>2</v>
      </c>
      <c r="D16">
        <f t="shared" si="0"/>
        <v>52</v>
      </c>
      <c r="E16" t="s">
        <v>12</v>
      </c>
      <c r="F16" t="s">
        <v>13</v>
      </c>
      <c r="G16">
        <v>3480</v>
      </c>
      <c r="H16" s="2">
        <v>46068</v>
      </c>
      <c r="I16" s="3" t="str">
        <f t="shared" si="1"/>
        <v>Feb</v>
      </c>
      <c r="J16" t="s">
        <v>14</v>
      </c>
    </row>
    <row r="17" hidden="1" spans="1:10">
      <c r="A17" t="s">
        <v>46</v>
      </c>
      <c r="B17" t="s">
        <v>47</v>
      </c>
      <c r="C17">
        <v>2</v>
      </c>
      <c r="D17" t="str">
        <f t="shared" si="0"/>
        <v/>
      </c>
      <c r="E17" t="s">
        <v>48</v>
      </c>
      <c r="F17" t="s">
        <v>18</v>
      </c>
      <c r="G17">
        <v>5160</v>
      </c>
      <c r="H17" s="2">
        <v>46068</v>
      </c>
      <c r="I17" s="3" t="str">
        <f t="shared" si="1"/>
        <v>Feb</v>
      </c>
      <c r="J17" t="s">
        <v>14</v>
      </c>
    </row>
    <row r="18" hidden="1" spans="1:10">
      <c r="A18" t="s">
        <v>27</v>
      </c>
      <c r="B18" t="s">
        <v>49</v>
      </c>
      <c r="C18">
        <v>1</v>
      </c>
      <c r="D18">
        <f t="shared" si="0"/>
        <v>16</v>
      </c>
      <c r="E18" t="s">
        <v>25</v>
      </c>
      <c r="F18" t="s">
        <v>28</v>
      </c>
      <c r="G18">
        <v>1800</v>
      </c>
      <c r="H18" s="2">
        <v>46068</v>
      </c>
      <c r="I18" s="3" t="str">
        <f t="shared" si="1"/>
        <v>Feb</v>
      </c>
      <c r="J18" t="s">
        <v>14</v>
      </c>
    </row>
    <row r="19" hidden="1" spans="1:10">
      <c r="A19" t="s">
        <v>50</v>
      </c>
      <c r="B19" t="s">
        <v>51</v>
      </c>
      <c r="C19">
        <v>5</v>
      </c>
      <c r="D19">
        <f t="shared" si="0"/>
        <v>50</v>
      </c>
      <c r="E19" t="s">
        <v>25</v>
      </c>
      <c r="F19" t="s">
        <v>28</v>
      </c>
      <c r="G19">
        <v>4850</v>
      </c>
      <c r="H19" s="2">
        <v>46068</v>
      </c>
      <c r="I19" s="3" t="str">
        <f t="shared" si="1"/>
        <v>Feb</v>
      </c>
      <c r="J19" t="s">
        <v>14</v>
      </c>
    </row>
    <row r="20" hidden="1" spans="1:10">
      <c r="A20" t="s">
        <v>50</v>
      </c>
      <c r="B20" t="s">
        <v>51</v>
      </c>
      <c r="C20">
        <v>5</v>
      </c>
      <c r="D20">
        <f t="shared" si="0"/>
        <v>50</v>
      </c>
      <c r="E20" t="s">
        <v>25</v>
      </c>
      <c r="F20" t="s">
        <v>28</v>
      </c>
      <c r="G20">
        <v>4900</v>
      </c>
      <c r="H20" s="2">
        <v>46068</v>
      </c>
      <c r="I20" s="3" t="str">
        <f t="shared" si="1"/>
        <v>Feb</v>
      </c>
      <c r="J20" t="s">
        <v>14</v>
      </c>
    </row>
    <row r="21" spans="1:10">
      <c r="A21" t="s">
        <v>52</v>
      </c>
      <c r="B21" t="s">
        <v>11</v>
      </c>
      <c r="C21">
        <v>1</v>
      </c>
      <c r="D21">
        <f t="shared" si="0"/>
        <v>30</v>
      </c>
      <c r="E21" t="s">
        <v>30</v>
      </c>
      <c r="F21" t="s">
        <v>53</v>
      </c>
      <c r="G21">
        <v>2700</v>
      </c>
      <c r="H21" s="2">
        <v>46081</v>
      </c>
      <c r="I21" s="3" t="str">
        <f t="shared" si="1"/>
        <v>Feb</v>
      </c>
      <c r="J21" t="s">
        <v>14</v>
      </c>
    </row>
    <row r="22" hidden="1" spans="1:10">
      <c r="A22" t="s">
        <v>54</v>
      </c>
      <c r="B22" t="s">
        <v>16</v>
      </c>
      <c r="C22">
        <v>1</v>
      </c>
      <c r="D22">
        <f t="shared" si="0"/>
        <v>20</v>
      </c>
      <c r="E22" t="s">
        <v>17</v>
      </c>
      <c r="F22" t="s">
        <v>54</v>
      </c>
      <c r="G22">
        <v>1900</v>
      </c>
      <c r="H22" s="2">
        <v>46081</v>
      </c>
      <c r="I22" s="3" t="str">
        <f t="shared" si="1"/>
        <v>Feb</v>
      </c>
      <c r="J22" t="s">
        <v>14</v>
      </c>
    </row>
    <row r="23" hidden="1" spans="1:10">
      <c r="A23" t="s">
        <v>50</v>
      </c>
      <c r="B23" t="s">
        <v>51</v>
      </c>
      <c r="C23">
        <v>2</v>
      </c>
      <c r="D23">
        <f t="shared" si="0"/>
        <v>20</v>
      </c>
      <c r="E23" t="s">
        <v>25</v>
      </c>
      <c r="F23" t="s">
        <v>28</v>
      </c>
      <c r="G23">
        <v>1776</v>
      </c>
      <c r="H23" s="2">
        <v>46081</v>
      </c>
      <c r="I23" s="3" t="str">
        <f t="shared" si="1"/>
        <v>Feb</v>
      </c>
      <c r="J23" t="s">
        <v>14</v>
      </c>
    </row>
    <row r="24" hidden="1" spans="1:10">
      <c r="A24" t="s">
        <v>50</v>
      </c>
      <c r="B24" t="s">
        <v>55</v>
      </c>
      <c r="C24">
        <v>4</v>
      </c>
      <c r="D24">
        <f t="shared" si="0"/>
        <v>20</v>
      </c>
      <c r="E24" t="s">
        <v>25</v>
      </c>
      <c r="F24" t="s">
        <v>28</v>
      </c>
      <c r="G24">
        <v>2720</v>
      </c>
      <c r="H24" s="2">
        <v>46081</v>
      </c>
      <c r="I24" s="3" t="str">
        <f t="shared" si="1"/>
        <v>Feb</v>
      </c>
      <c r="J24" t="s">
        <v>14</v>
      </c>
    </row>
    <row r="25" hidden="1" spans="1:10">
      <c r="A25" t="s">
        <v>56</v>
      </c>
      <c r="B25" t="s">
        <v>41</v>
      </c>
      <c r="C25">
        <v>2</v>
      </c>
      <c r="D25" t="str">
        <f t="shared" si="0"/>
        <v/>
      </c>
      <c r="E25" t="s">
        <v>57</v>
      </c>
      <c r="G25">
        <v>1560</v>
      </c>
      <c r="H25" s="2">
        <v>46081</v>
      </c>
      <c r="I25" s="3" t="str">
        <f t="shared" si="1"/>
        <v>Feb</v>
      </c>
      <c r="J25" t="s">
        <v>14</v>
      </c>
    </row>
    <row r="26" hidden="1" spans="1:10">
      <c r="A26" t="s">
        <v>58</v>
      </c>
      <c r="B26" t="s">
        <v>33</v>
      </c>
      <c r="C26">
        <v>1</v>
      </c>
      <c r="D26">
        <f t="shared" si="0"/>
        <v>50</v>
      </c>
      <c r="E26" t="s">
        <v>34</v>
      </c>
      <c r="F26" t="s">
        <v>59</v>
      </c>
      <c r="G26">
        <v>1550</v>
      </c>
      <c r="H26" s="2">
        <v>46081</v>
      </c>
      <c r="I26" s="3" t="str">
        <f t="shared" si="1"/>
        <v>Feb</v>
      </c>
      <c r="J26" t="s">
        <v>14</v>
      </c>
    </row>
    <row r="27" hidden="1" spans="1:10">
      <c r="A27" t="s">
        <v>60</v>
      </c>
      <c r="B27" t="s">
        <v>61</v>
      </c>
      <c r="C27">
        <v>5</v>
      </c>
      <c r="D27">
        <f t="shared" si="0"/>
        <v>5</v>
      </c>
      <c r="E27" t="s">
        <v>48</v>
      </c>
      <c r="G27">
        <v>800</v>
      </c>
      <c r="H27" s="2">
        <v>46081</v>
      </c>
      <c r="I27" s="3" t="str">
        <f t="shared" si="1"/>
        <v>Feb</v>
      </c>
      <c r="J27" t="s">
        <v>14</v>
      </c>
    </row>
    <row r="28" hidden="1" spans="1:10">
      <c r="A28" t="s">
        <v>32</v>
      </c>
      <c r="B28" t="s">
        <v>35</v>
      </c>
      <c r="C28">
        <v>4</v>
      </c>
      <c r="D28">
        <f t="shared" si="0"/>
        <v>104</v>
      </c>
      <c r="E28" t="s">
        <v>34</v>
      </c>
      <c r="F28" t="s">
        <v>32</v>
      </c>
      <c r="G28">
        <v>3060</v>
      </c>
      <c r="H28" s="2">
        <v>46081</v>
      </c>
      <c r="I28" s="3" t="str">
        <f t="shared" si="1"/>
        <v>Feb</v>
      </c>
      <c r="J28" t="s">
        <v>14</v>
      </c>
    </row>
    <row r="29" hidden="1" spans="1:10">
      <c r="A29" t="s">
        <v>62</v>
      </c>
      <c r="B29" t="s">
        <v>24</v>
      </c>
      <c r="C29">
        <v>1</v>
      </c>
      <c r="D29">
        <f t="shared" si="0"/>
        <v>15</v>
      </c>
      <c r="E29" t="s">
        <v>48</v>
      </c>
      <c r="G29">
        <v>1450</v>
      </c>
      <c r="H29" s="2">
        <v>46081</v>
      </c>
      <c r="I29" s="3" t="str">
        <f t="shared" si="1"/>
        <v>Feb</v>
      </c>
      <c r="J29" t="s">
        <v>14</v>
      </c>
    </row>
    <row r="30" hidden="1" spans="1:10">
      <c r="A30" t="s">
        <v>63</v>
      </c>
      <c r="B30" t="s">
        <v>11</v>
      </c>
      <c r="C30">
        <v>1</v>
      </c>
      <c r="D30">
        <f t="shared" si="0"/>
        <v>30</v>
      </c>
      <c r="E30" t="s">
        <v>48</v>
      </c>
      <c r="G30">
        <v>960</v>
      </c>
      <c r="H30" s="2">
        <v>46081</v>
      </c>
      <c r="I30" s="3" t="str">
        <f t="shared" si="1"/>
        <v>Feb</v>
      </c>
      <c r="J30" t="s">
        <v>14</v>
      </c>
    </row>
    <row r="31" hidden="1" spans="1:10">
      <c r="A31" t="s">
        <v>64</v>
      </c>
      <c r="B31" t="s">
        <v>20</v>
      </c>
      <c r="C31">
        <v>20</v>
      </c>
      <c r="D31" t="str">
        <f t="shared" si="0"/>
        <v/>
      </c>
      <c r="E31" t="s">
        <v>21</v>
      </c>
      <c r="F31" t="s">
        <v>65</v>
      </c>
      <c r="G31">
        <v>4500</v>
      </c>
      <c r="H31" s="2">
        <v>46081</v>
      </c>
      <c r="I31" s="3" t="str">
        <f t="shared" si="1"/>
        <v>Feb</v>
      </c>
      <c r="J31" t="s">
        <v>14</v>
      </c>
    </row>
    <row r="32" hidden="1" spans="1:10">
      <c r="A32" t="s">
        <v>36</v>
      </c>
      <c r="B32" t="s">
        <v>33</v>
      </c>
      <c r="C32">
        <v>6</v>
      </c>
      <c r="D32">
        <f t="shared" si="0"/>
        <v>300</v>
      </c>
      <c r="E32" t="s">
        <v>17</v>
      </c>
      <c r="G32">
        <v>12900</v>
      </c>
      <c r="H32" s="2">
        <v>46081</v>
      </c>
      <c r="I32" s="3" t="str">
        <f t="shared" si="1"/>
        <v>Feb</v>
      </c>
      <c r="J32" t="s">
        <v>14</v>
      </c>
    </row>
    <row r="33" hidden="1" spans="1:10">
      <c r="A33" t="s">
        <v>66</v>
      </c>
      <c r="B33" t="s">
        <v>20</v>
      </c>
      <c r="C33">
        <v>10</v>
      </c>
      <c r="D33" t="str">
        <f t="shared" si="0"/>
        <v/>
      </c>
      <c r="E33" t="s">
        <v>21</v>
      </c>
      <c r="F33" t="s">
        <v>67</v>
      </c>
      <c r="G33">
        <v>1550</v>
      </c>
      <c r="H33" s="2">
        <v>46081</v>
      </c>
      <c r="I33" s="3" t="str">
        <f t="shared" si="1"/>
        <v>Feb</v>
      </c>
      <c r="J33" t="s">
        <v>14</v>
      </c>
    </row>
    <row r="34" hidden="1" spans="1:10">
      <c r="A34" t="s">
        <v>68</v>
      </c>
      <c r="B34" t="s">
        <v>61</v>
      </c>
      <c r="C34">
        <v>10</v>
      </c>
      <c r="D34">
        <f t="shared" si="0"/>
        <v>10</v>
      </c>
      <c r="E34" t="s">
        <v>48</v>
      </c>
      <c r="G34">
        <v>440</v>
      </c>
      <c r="H34" s="2">
        <v>46081</v>
      </c>
      <c r="I34" s="3" t="str">
        <f t="shared" si="1"/>
        <v>Feb</v>
      </c>
      <c r="J34" t="s">
        <v>14</v>
      </c>
    </row>
    <row r="35" hidden="1" spans="1:10">
      <c r="A35" t="s">
        <v>54</v>
      </c>
      <c r="B35" t="s">
        <v>61</v>
      </c>
      <c r="C35">
        <v>20</v>
      </c>
      <c r="D35">
        <f t="shared" si="0"/>
        <v>20</v>
      </c>
      <c r="E35" t="s">
        <v>17</v>
      </c>
      <c r="F35" t="s">
        <v>54</v>
      </c>
      <c r="G35">
        <v>2000</v>
      </c>
      <c r="H35" s="2">
        <v>46081</v>
      </c>
      <c r="I35" s="3" t="str">
        <f t="shared" si="1"/>
        <v>Feb</v>
      </c>
      <c r="J35" t="s">
        <v>14</v>
      </c>
    </row>
    <row r="36" hidden="1" spans="1:10">
      <c r="A36" t="s">
        <v>69</v>
      </c>
      <c r="B36" t="s">
        <v>61</v>
      </c>
      <c r="C36">
        <v>20</v>
      </c>
      <c r="D36">
        <f t="shared" si="0"/>
        <v>20</v>
      </c>
      <c r="E36" t="s">
        <v>17</v>
      </c>
      <c r="F36" t="s">
        <v>54</v>
      </c>
      <c r="G36">
        <v>1900</v>
      </c>
      <c r="H36" s="2">
        <v>46081</v>
      </c>
      <c r="I36" s="3" t="str">
        <f t="shared" si="1"/>
        <v>Feb</v>
      </c>
      <c r="J36" t="s">
        <v>14</v>
      </c>
    </row>
    <row r="37" spans="1:10">
      <c r="A37" t="s">
        <v>70</v>
      </c>
      <c r="B37" t="s">
        <v>35</v>
      </c>
      <c r="C37">
        <v>5</v>
      </c>
      <c r="D37">
        <f t="shared" si="0"/>
        <v>130</v>
      </c>
      <c r="E37" t="s">
        <v>12</v>
      </c>
      <c r="F37" t="s">
        <v>71</v>
      </c>
      <c r="G37">
        <v>5460</v>
      </c>
      <c r="H37" s="2">
        <v>46081</v>
      </c>
      <c r="I37" s="3" t="str">
        <f t="shared" si="1"/>
        <v>Feb</v>
      </c>
      <c r="J37" t="s">
        <v>14</v>
      </c>
    </row>
    <row r="38" hidden="1" spans="1:10">
      <c r="A38" t="s">
        <v>72</v>
      </c>
      <c r="B38" t="s">
        <v>41</v>
      </c>
      <c r="C38">
        <v>1</v>
      </c>
      <c r="D38" t="str">
        <f t="shared" si="0"/>
        <v/>
      </c>
      <c r="E38" t="s">
        <v>73</v>
      </c>
      <c r="F38" t="s">
        <v>72</v>
      </c>
      <c r="G38">
        <v>4000</v>
      </c>
      <c r="H38" s="2">
        <v>46081</v>
      </c>
      <c r="I38" s="3" t="str">
        <f t="shared" si="1"/>
        <v>Feb</v>
      </c>
      <c r="J38" t="s">
        <v>14</v>
      </c>
    </row>
    <row r="39" hidden="1" spans="1:10">
      <c r="A39" t="s">
        <v>74</v>
      </c>
      <c r="B39" t="s">
        <v>20</v>
      </c>
      <c r="C39">
        <v>50</v>
      </c>
      <c r="D39" t="str">
        <f t="shared" si="0"/>
        <v/>
      </c>
      <c r="E39" t="s">
        <v>21</v>
      </c>
      <c r="F39" t="s">
        <v>74</v>
      </c>
      <c r="G39">
        <v>3650</v>
      </c>
      <c r="H39" s="2">
        <v>46088</v>
      </c>
      <c r="I39" s="3" t="str">
        <f t="shared" ref="I39:I61" si="2">TEXT(H39,"mmm")</f>
        <v>Mar</v>
      </c>
      <c r="J39" t="s">
        <v>14</v>
      </c>
    </row>
    <row r="40" hidden="1" spans="1:10">
      <c r="A40" t="s">
        <v>32</v>
      </c>
      <c r="B40" t="s">
        <v>35</v>
      </c>
      <c r="C40">
        <v>4</v>
      </c>
      <c r="D40">
        <f t="shared" si="0"/>
        <v>104</v>
      </c>
      <c r="E40" t="s">
        <v>34</v>
      </c>
      <c r="F40" t="s">
        <v>32</v>
      </c>
      <c r="G40">
        <v>3020</v>
      </c>
      <c r="H40" s="2">
        <v>46088</v>
      </c>
      <c r="I40" s="3" t="str">
        <f t="shared" si="2"/>
        <v>Mar</v>
      </c>
      <c r="J40" t="s">
        <v>14</v>
      </c>
    </row>
    <row r="41" hidden="1" spans="1:10">
      <c r="A41" t="s">
        <v>32</v>
      </c>
      <c r="B41" t="s">
        <v>33</v>
      </c>
      <c r="C41">
        <v>1</v>
      </c>
      <c r="D41">
        <f t="shared" si="0"/>
        <v>50</v>
      </c>
      <c r="E41" t="s">
        <v>34</v>
      </c>
      <c r="F41" t="s">
        <v>32</v>
      </c>
      <c r="G41">
        <v>1400</v>
      </c>
      <c r="H41" s="2">
        <v>46088</v>
      </c>
      <c r="I41" s="3" t="str">
        <f t="shared" si="2"/>
        <v>Mar</v>
      </c>
      <c r="J41" t="s">
        <v>14</v>
      </c>
    </row>
    <row r="42" hidden="1" spans="1:10">
      <c r="A42" t="s">
        <v>75</v>
      </c>
      <c r="B42" t="s">
        <v>51</v>
      </c>
      <c r="C42">
        <v>1</v>
      </c>
      <c r="D42">
        <f t="shared" ref="D42:D48" si="3">IF(ISNUMBER(SEARCH("kg",B42)),C42*VALUE(LEFT(B42,FIND(" ",B42)-1)),"")</f>
        <v>10</v>
      </c>
      <c r="E42" t="s">
        <v>25</v>
      </c>
      <c r="F42" t="s">
        <v>28</v>
      </c>
      <c r="G42">
        <v>1450</v>
      </c>
      <c r="H42" s="2">
        <v>46088</v>
      </c>
      <c r="I42" s="3" t="str">
        <f t="shared" si="2"/>
        <v>Mar</v>
      </c>
      <c r="J42" t="s">
        <v>14</v>
      </c>
    </row>
    <row r="43" hidden="1" spans="1:10">
      <c r="A43" t="s">
        <v>75</v>
      </c>
      <c r="B43" t="s">
        <v>76</v>
      </c>
      <c r="C43">
        <v>6</v>
      </c>
      <c r="D43">
        <f t="shared" si="3"/>
        <v>12</v>
      </c>
      <c r="E43" t="s">
        <v>25</v>
      </c>
      <c r="F43" t="s">
        <v>28</v>
      </c>
      <c r="G43">
        <v>1776</v>
      </c>
      <c r="H43" s="2">
        <v>46088</v>
      </c>
      <c r="I43" s="3" t="str">
        <f t="shared" si="2"/>
        <v>Mar</v>
      </c>
      <c r="J43" t="s">
        <v>14</v>
      </c>
    </row>
    <row r="44" hidden="1" spans="1:10">
      <c r="A44" t="s">
        <v>77</v>
      </c>
      <c r="B44" t="s">
        <v>78</v>
      </c>
      <c r="C44">
        <v>24</v>
      </c>
      <c r="D44">
        <f t="shared" si="3"/>
        <v>12</v>
      </c>
      <c r="E44" t="s">
        <v>25</v>
      </c>
      <c r="F44" t="s">
        <v>26</v>
      </c>
      <c r="G44">
        <v>1600</v>
      </c>
      <c r="H44" s="2">
        <v>46088</v>
      </c>
      <c r="I44" s="3" t="str">
        <f t="shared" si="2"/>
        <v>Mar</v>
      </c>
      <c r="J44" t="s">
        <v>14</v>
      </c>
    </row>
    <row r="45" hidden="1" spans="1:10">
      <c r="A45" t="s">
        <v>79</v>
      </c>
      <c r="B45" t="s">
        <v>55</v>
      </c>
      <c r="C45">
        <v>2</v>
      </c>
      <c r="D45">
        <f t="shared" si="3"/>
        <v>10</v>
      </c>
      <c r="E45" t="s">
        <v>25</v>
      </c>
      <c r="F45" t="s">
        <v>26</v>
      </c>
      <c r="G45">
        <v>1600</v>
      </c>
      <c r="H45" s="2">
        <v>46088</v>
      </c>
      <c r="I45" s="3" t="str">
        <f t="shared" si="2"/>
        <v>Mar</v>
      </c>
      <c r="J45" t="s">
        <v>14</v>
      </c>
    </row>
    <row r="46" hidden="1" spans="1:10">
      <c r="A46" t="s">
        <v>80</v>
      </c>
      <c r="B46" t="s">
        <v>55</v>
      </c>
      <c r="C46">
        <v>2</v>
      </c>
      <c r="D46">
        <f t="shared" si="3"/>
        <v>10</v>
      </c>
      <c r="E46" t="s">
        <v>25</v>
      </c>
      <c r="F46" t="s">
        <v>26</v>
      </c>
      <c r="G46">
        <v>1720</v>
      </c>
      <c r="H46" s="2">
        <v>46088</v>
      </c>
      <c r="I46" s="3" t="str">
        <f t="shared" si="2"/>
        <v>Mar</v>
      </c>
      <c r="J46" t="s">
        <v>14</v>
      </c>
    </row>
    <row r="47" hidden="1" spans="1:10">
      <c r="A47" t="s">
        <v>81</v>
      </c>
      <c r="B47" t="s">
        <v>51</v>
      </c>
      <c r="C47">
        <v>1</v>
      </c>
      <c r="D47">
        <f t="shared" si="3"/>
        <v>10</v>
      </c>
      <c r="E47" t="s">
        <v>73</v>
      </c>
      <c r="F47" t="s">
        <v>81</v>
      </c>
      <c r="G47">
        <v>8400</v>
      </c>
      <c r="H47" s="2">
        <v>46088</v>
      </c>
      <c r="I47" s="3" t="str">
        <f t="shared" si="2"/>
        <v>Mar</v>
      </c>
      <c r="J47" t="s">
        <v>14</v>
      </c>
    </row>
    <row r="48" spans="1:10">
      <c r="A48" t="s">
        <v>82</v>
      </c>
      <c r="B48" t="s">
        <v>11</v>
      </c>
      <c r="C48">
        <v>1</v>
      </c>
      <c r="D48">
        <f t="shared" si="3"/>
        <v>30</v>
      </c>
      <c r="E48" t="s">
        <v>30</v>
      </c>
      <c r="F48" t="s">
        <v>83</v>
      </c>
      <c r="G48">
        <v>2310</v>
      </c>
      <c r="H48" s="2">
        <v>46088</v>
      </c>
      <c r="I48" s="3" t="str">
        <f t="shared" si="2"/>
        <v>Mar</v>
      </c>
      <c r="J48" t="s">
        <v>14</v>
      </c>
    </row>
    <row r="49" hidden="1" spans="1:10">
      <c r="A49" t="s">
        <v>84</v>
      </c>
      <c r="B49" t="s">
        <v>55</v>
      </c>
      <c r="C49">
        <v>1</v>
      </c>
      <c r="D49">
        <f t="shared" ref="D49:D64" si="4">IF(ISNUMBER(SEARCH("kg",B49)),C49*VALUE(LEFT(B49,FIND(" ",B49)-1)),"")</f>
        <v>5</v>
      </c>
      <c r="E49" t="s">
        <v>73</v>
      </c>
      <c r="F49" t="s">
        <v>85</v>
      </c>
      <c r="G49">
        <v>3900</v>
      </c>
      <c r="H49" s="2">
        <v>46088</v>
      </c>
      <c r="I49" s="3" t="str">
        <f t="shared" si="2"/>
        <v>Mar</v>
      </c>
      <c r="J49" t="s">
        <v>14</v>
      </c>
    </row>
    <row r="50" spans="1:10">
      <c r="A50" t="s">
        <v>86</v>
      </c>
      <c r="B50" t="s">
        <v>11</v>
      </c>
      <c r="C50">
        <v>2</v>
      </c>
      <c r="D50">
        <f t="shared" si="4"/>
        <v>60</v>
      </c>
      <c r="E50" t="s">
        <v>30</v>
      </c>
      <c r="F50" t="s">
        <v>86</v>
      </c>
      <c r="G50">
        <v>6660</v>
      </c>
      <c r="H50" s="2">
        <v>46088</v>
      </c>
      <c r="I50" s="3" t="str">
        <f t="shared" si="2"/>
        <v>Mar</v>
      </c>
      <c r="J50" t="s">
        <v>14</v>
      </c>
    </row>
    <row r="51" hidden="1" spans="1:10">
      <c r="A51" t="s">
        <v>87</v>
      </c>
      <c r="B51" t="s">
        <v>41</v>
      </c>
      <c r="D51" t="str">
        <f t="shared" si="4"/>
        <v/>
      </c>
      <c r="E51" t="s">
        <v>48</v>
      </c>
      <c r="G51">
        <v>1250</v>
      </c>
      <c r="H51" s="2">
        <v>46088</v>
      </c>
      <c r="I51" s="3" t="str">
        <f t="shared" si="2"/>
        <v>Mar</v>
      </c>
      <c r="J51" t="s">
        <v>14</v>
      </c>
    </row>
    <row r="52" spans="1:10">
      <c r="A52" t="s">
        <v>88</v>
      </c>
      <c r="B52" t="s">
        <v>11</v>
      </c>
      <c r="C52">
        <v>1</v>
      </c>
      <c r="D52">
        <f t="shared" si="4"/>
        <v>30</v>
      </c>
      <c r="E52" t="s">
        <v>30</v>
      </c>
      <c r="F52" t="s">
        <v>88</v>
      </c>
      <c r="G52">
        <v>2130</v>
      </c>
      <c r="H52" s="2">
        <v>46088</v>
      </c>
      <c r="I52" s="3" t="str">
        <f t="shared" si="2"/>
        <v>Mar</v>
      </c>
      <c r="J52" t="s">
        <v>14</v>
      </c>
    </row>
    <row r="53" hidden="1" spans="1:10">
      <c r="A53" t="s">
        <v>89</v>
      </c>
      <c r="B53" t="s">
        <v>55</v>
      </c>
      <c r="C53">
        <v>1</v>
      </c>
      <c r="D53">
        <f t="shared" si="4"/>
        <v>5</v>
      </c>
      <c r="E53" t="s">
        <v>73</v>
      </c>
      <c r="F53" t="s">
        <v>89</v>
      </c>
      <c r="G53">
        <v>1600</v>
      </c>
      <c r="H53" s="2">
        <v>46088</v>
      </c>
      <c r="I53" s="3" t="str">
        <f t="shared" si="2"/>
        <v>Mar</v>
      </c>
      <c r="J53" t="s">
        <v>14</v>
      </c>
    </row>
    <row r="54" spans="1:10">
      <c r="A54" t="s">
        <v>29</v>
      </c>
      <c r="B54" t="s">
        <v>11</v>
      </c>
      <c r="C54">
        <v>1</v>
      </c>
      <c r="D54">
        <f t="shared" si="4"/>
        <v>30</v>
      </c>
      <c r="E54" t="s">
        <v>30</v>
      </c>
      <c r="F54" t="s">
        <v>31</v>
      </c>
      <c r="G54">
        <v>2070</v>
      </c>
      <c r="H54" s="2">
        <v>46088</v>
      </c>
      <c r="I54" s="3" t="str">
        <f t="shared" si="2"/>
        <v>Mar</v>
      </c>
      <c r="J54" t="s">
        <v>14</v>
      </c>
    </row>
    <row r="55" spans="1:10">
      <c r="A55" t="s">
        <v>90</v>
      </c>
      <c r="B55" t="s">
        <v>11</v>
      </c>
      <c r="C55">
        <v>1</v>
      </c>
      <c r="D55">
        <f t="shared" si="4"/>
        <v>30</v>
      </c>
      <c r="E55" t="s">
        <v>30</v>
      </c>
      <c r="F55" t="s">
        <v>31</v>
      </c>
      <c r="G55">
        <v>2160</v>
      </c>
      <c r="H55" s="2">
        <v>46088</v>
      </c>
      <c r="I55" s="3" t="str">
        <f t="shared" si="2"/>
        <v>Mar</v>
      </c>
      <c r="J55" t="s">
        <v>14</v>
      </c>
    </row>
    <row r="56" hidden="1" spans="1:10">
      <c r="A56" t="s">
        <v>91</v>
      </c>
      <c r="B56" t="s">
        <v>51</v>
      </c>
      <c r="C56">
        <v>2</v>
      </c>
      <c r="D56">
        <f t="shared" si="4"/>
        <v>20</v>
      </c>
      <c r="E56" t="s">
        <v>34</v>
      </c>
      <c r="F56" t="s">
        <v>92</v>
      </c>
      <c r="G56">
        <v>960</v>
      </c>
      <c r="H56" s="2">
        <v>46088</v>
      </c>
      <c r="I56" s="3" t="str">
        <f t="shared" si="2"/>
        <v>Mar</v>
      </c>
      <c r="J56" t="s">
        <v>14</v>
      </c>
    </row>
    <row r="57" spans="1:10">
      <c r="A57" t="s">
        <v>70</v>
      </c>
      <c r="B57" t="s">
        <v>35</v>
      </c>
      <c r="C57">
        <v>4</v>
      </c>
      <c r="D57">
        <f t="shared" si="4"/>
        <v>104</v>
      </c>
      <c r="E57" t="s">
        <v>12</v>
      </c>
      <c r="F57" t="s">
        <v>71</v>
      </c>
      <c r="G57">
        <v>4160</v>
      </c>
      <c r="H57" s="2">
        <v>46088</v>
      </c>
      <c r="I57" s="3" t="str">
        <f t="shared" si="2"/>
        <v>Mar</v>
      </c>
      <c r="J57" t="s">
        <v>14</v>
      </c>
    </row>
    <row r="58" spans="1:10">
      <c r="A58" t="s">
        <v>93</v>
      </c>
      <c r="B58" t="s">
        <v>11</v>
      </c>
      <c r="C58">
        <v>1</v>
      </c>
      <c r="D58">
        <f t="shared" si="4"/>
        <v>30</v>
      </c>
      <c r="E58" t="s">
        <v>30</v>
      </c>
      <c r="F58" t="s">
        <v>94</v>
      </c>
      <c r="G58">
        <v>3480</v>
      </c>
      <c r="H58" s="2">
        <v>46088</v>
      </c>
      <c r="I58" s="3" t="str">
        <f t="shared" si="2"/>
        <v>Mar</v>
      </c>
      <c r="J58" t="s">
        <v>14</v>
      </c>
    </row>
    <row r="59" hidden="1" spans="1:10">
      <c r="A59" t="s">
        <v>50</v>
      </c>
      <c r="B59" t="s">
        <v>24</v>
      </c>
      <c r="C59">
        <v>5</v>
      </c>
      <c r="D59">
        <f t="shared" si="4"/>
        <v>75</v>
      </c>
      <c r="E59" t="s">
        <v>25</v>
      </c>
      <c r="F59" t="s">
        <v>28</v>
      </c>
      <c r="G59">
        <v>11100</v>
      </c>
      <c r="H59" s="2">
        <v>46088</v>
      </c>
      <c r="I59" s="3" t="str">
        <f t="shared" si="2"/>
        <v>Mar</v>
      </c>
      <c r="J59" t="s">
        <v>14</v>
      </c>
    </row>
    <row r="60" hidden="1" spans="1:10">
      <c r="A60" t="s">
        <v>50</v>
      </c>
      <c r="B60" t="s">
        <v>55</v>
      </c>
      <c r="C60">
        <v>2</v>
      </c>
      <c r="D60">
        <f t="shared" si="4"/>
        <v>10</v>
      </c>
      <c r="E60" t="s">
        <v>25</v>
      </c>
      <c r="F60" t="s">
        <v>28</v>
      </c>
      <c r="G60">
        <v>4750</v>
      </c>
      <c r="H60" s="2">
        <v>46088</v>
      </c>
      <c r="I60" s="3" t="str">
        <f t="shared" si="2"/>
        <v>Mar</v>
      </c>
      <c r="J60" t="s">
        <v>14</v>
      </c>
    </row>
    <row r="61" hidden="1" spans="1:10">
      <c r="A61" t="s">
        <v>36</v>
      </c>
      <c r="B61" t="s">
        <v>33</v>
      </c>
      <c r="C61">
        <v>4</v>
      </c>
      <c r="D61">
        <f t="shared" si="4"/>
        <v>200</v>
      </c>
      <c r="E61" t="s">
        <v>17</v>
      </c>
      <c r="F61" t="s">
        <v>36</v>
      </c>
      <c r="G61">
        <v>8680</v>
      </c>
      <c r="H61" s="2">
        <v>46088</v>
      </c>
      <c r="I61" s="3" t="str">
        <f t="shared" si="2"/>
        <v>Mar</v>
      </c>
      <c r="J61" t="s">
        <v>14</v>
      </c>
    </row>
    <row r="62" hidden="1" spans="1:10">
      <c r="A62" t="s">
        <v>81</v>
      </c>
      <c r="B62" t="s">
        <v>55</v>
      </c>
      <c r="C62">
        <v>1</v>
      </c>
      <c r="D62">
        <f t="shared" si="4"/>
        <v>5</v>
      </c>
      <c r="E62" t="s">
        <v>73</v>
      </c>
      <c r="F62" t="s">
        <v>81</v>
      </c>
      <c r="G62">
        <v>4000</v>
      </c>
      <c r="H62" s="2">
        <v>46034</v>
      </c>
      <c r="I62" s="3" t="str">
        <f t="shared" ref="I62:I85" si="5">TEXT(H62,"mmm")</f>
        <v>Jan</v>
      </c>
      <c r="J62" t="s">
        <v>95</v>
      </c>
    </row>
    <row r="63" hidden="1" spans="1:10">
      <c r="A63" t="s">
        <v>85</v>
      </c>
      <c r="B63" t="s">
        <v>55</v>
      </c>
      <c r="C63">
        <v>1</v>
      </c>
      <c r="D63">
        <f t="shared" si="4"/>
        <v>5</v>
      </c>
      <c r="E63" t="s">
        <v>73</v>
      </c>
      <c r="F63" t="s">
        <v>85</v>
      </c>
      <c r="G63">
        <v>3750</v>
      </c>
      <c r="H63" s="2">
        <v>46034</v>
      </c>
      <c r="I63" s="3" t="str">
        <f t="shared" si="5"/>
        <v>Jan</v>
      </c>
      <c r="J63" t="s">
        <v>95</v>
      </c>
    </row>
    <row r="64" hidden="1" spans="1:10">
      <c r="A64" t="s">
        <v>96</v>
      </c>
      <c r="B64" t="s">
        <v>51</v>
      </c>
      <c r="C64">
        <v>3</v>
      </c>
      <c r="D64">
        <f t="shared" si="4"/>
        <v>30</v>
      </c>
      <c r="E64" t="s">
        <v>34</v>
      </c>
      <c r="F64" t="s">
        <v>92</v>
      </c>
      <c r="G64">
        <v>2640</v>
      </c>
      <c r="H64" s="2">
        <v>46034</v>
      </c>
      <c r="I64" s="3" t="str">
        <f t="shared" si="5"/>
        <v>Jan</v>
      </c>
      <c r="J64" t="s">
        <v>95</v>
      </c>
    </row>
    <row r="65" hidden="1" spans="1:10">
      <c r="A65" t="s">
        <v>97</v>
      </c>
      <c r="B65" t="s">
        <v>16</v>
      </c>
      <c r="C65">
        <v>1</v>
      </c>
      <c r="D65">
        <f t="shared" ref="D65:D100" si="6">IF(ISNUMBER(SEARCH("kg",B65)),C65*VALUE(LEFT(B65,FIND(" ",B65)-1)),"")</f>
        <v>20</v>
      </c>
      <c r="E65" t="s">
        <v>34</v>
      </c>
      <c r="F65" t="s">
        <v>92</v>
      </c>
      <c r="G65">
        <v>1800</v>
      </c>
      <c r="H65" s="2">
        <v>46034</v>
      </c>
      <c r="I65" s="3" t="str">
        <f t="shared" si="5"/>
        <v>Jan</v>
      </c>
      <c r="J65" t="s">
        <v>95</v>
      </c>
    </row>
    <row r="66" hidden="1" spans="1:10">
      <c r="A66" t="s">
        <v>98</v>
      </c>
      <c r="B66" t="s">
        <v>61</v>
      </c>
      <c r="C66">
        <v>1</v>
      </c>
      <c r="D66">
        <f t="shared" si="6"/>
        <v>1</v>
      </c>
      <c r="E66" t="s">
        <v>73</v>
      </c>
      <c r="F66" t="s">
        <v>98</v>
      </c>
      <c r="G66">
        <v>900</v>
      </c>
      <c r="H66" s="2">
        <v>46034</v>
      </c>
      <c r="I66" s="3" t="str">
        <f t="shared" si="5"/>
        <v>Jan</v>
      </c>
      <c r="J66" t="s">
        <v>95</v>
      </c>
    </row>
    <row r="67" hidden="1" spans="1:10">
      <c r="A67" t="s">
        <v>99</v>
      </c>
      <c r="B67" t="s">
        <v>61</v>
      </c>
      <c r="C67">
        <v>1</v>
      </c>
      <c r="D67">
        <f t="shared" si="6"/>
        <v>1</v>
      </c>
      <c r="E67" t="s">
        <v>73</v>
      </c>
      <c r="F67" t="s">
        <v>99</v>
      </c>
      <c r="G67">
        <v>900</v>
      </c>
      <c r="H67" s="2">
        <v>46034</v>
      </c>
      <c r="I67" s="3" t="str">
        <f t="shared" si="5"/>
        <v>Jan</v>
      </c>
      <c r="J67" t="s">
        <v>95</v>
      </c>
    </row>
    <row r="68" hidden="1" spans="1:10">
      <c r="A68" t="s">
        <v>100</v>
      </c>
      <c r="B68" t="s">
        <v>61</v>
      </c>
      <c r="C68">
        <v>1</v>
      </c>
      <c r="D68">
        <f t="shared" si="6"/>
        <v>1</v>
      </c>
      <c r="E68" t="s">
        <v>73</v>
      </c>
      <c r="F68" t="s">
        <v>100</v>
      </c>
      <c r="G68">
        <v>950</v>
      </c>
      <c r="H68" s="2">
        <v>46034</v>
      </c>
      <c r="I68" s="3" t="str">
        <f t="shared" si="5"/>
        <v>Jan</v>
      </c>
      <c r="J68" t="s">
        <v>95</v>
      </c>
    </row>
    <row r="69" hidden="1" spans="1:10">
      <c r="A69" t="s">
        <v>101</v>
      </c>
      <c r="B69" t="s">
        <v>51</v>
      </c>
      <c r="C69">
        <v>1</v>
      </c>
      <c r="D69">
        <f t="shared" si="6"/>
        <v>10</v>
      </c>
      <c r="E69" t="s">
        <v>102</v>
      </c>
      <c r="F69" t="s">
        <v>103</v>
      </c>
      <c r="G69">
        <v>1100</v>
      </c>
      <c r="H69" s="2">
        <v>46034</v>
      </c>
      <c r="I69" s="3" t="str">
        <f t="shared" si="5"/>
        <v>Jan</v>
      </c>
      <c r="J69" t="s">
        <v>95</v>
      </c>
    </row>
    <row r="70" hidden="1" spans="1:10">
      <c r="A70" t="s">
        <v>104</v>
      </c>
      <c r="B70" t="s">
        <v>76</v>
      </c>
      <c r="C70">
        <v>1</v>
      </c>
      <c r="D70">
        <f t="shared" si="6"/>
        <v>2</v>
      </c>
      <c r="E70" t="s">
        <v>102</v>
      </c>
      <c r="F70" t="s">
        <v>104</v>
      </c>
      <c r="G70">
        <v>1240</v>
      </c>
      <c r="H70" s="2">
        <v>46034</v>
      </c>
      <c r="I70" s="3" t="str">
        <f t="shared" si="5"/>
        <v>Jan</v>
      </c>
      <c r="J70" t="s">
        <v>95</v>
      </c>
    </row>
    <row r="71" hidden="1" spans="1:10">
      <c r="A71" t="s">
        <v>104</v>
      </c>
      <c r="B71" t="s">
        <v>76</v>
      </c>
      <c r="C71">
        <v>1</v>
      </c>
      <c r="D71">
        <f t="shared" si="6"/>
        <v>2</v>
      </c>
      <c r="E71" t="s">
        <v>102</v>
      </c>
      <c r="F71" t="s">
        <v>104</v>
      </c>
      <c r="G71">
        <v>1260</v>
      </c>
      <c r="H71" s="2">
        <v>46034</v>
      </c>
      <c r="I71" s="3" t="str">
        <f t="shared" si="5"/>
        <v>Jan</v>
      </c>
      <c r="J71" t="s">
        <v>95</v>
      </c>
    </row>
    <row r="72" spans="1:10">
      <c r="A72" t="s">
        <v>105</v>
      </c>
      <c r="B72" t="s">
        <v>11</v>
      </c>
      <c r="C72">
        <v>4</v>
      </c>
      <c r="D72">
        <f t="shared" si="6"/>
        <v>120</v>
      </c>
      <c r="E72" t="s">
        <v>12</v>
      </c>
      <c r="F72" t="s">
        <v>106</v>
      </c>
      <c r="G72">
        <v>4560</v>
      </c>
      <c r="H72" s="2">
        <v>46034</v>
      </c>
      <c r="I72" s="3" t="str">
        <f t="shared" si="5"/>
        <v>Jan</v>
      </c>
      <c r="J72" t="s">
        <v>95</v>
      </c>
    </row>
    <row r="73" spans="1:10">
      <c r="A73" t="s">
        <v>107</v>
      </c>
      <c r="B73" t="s">
        <v>11</v>
      </c>
      <c r="C73">
        <v>1</v>
      </c>
      <c r="D73">
        <f t="shared" si="6"/>
        <v>30</v>
      </c>
      <c r="E73" t="s">
        <v>30</v>
      </c>
      <c r="F73" t="s">
        <v>107</v>
      </c>
      <c r="G73">
        <v>3300</v>
      </c>
      <c r="H73" s="2">
        <v>46034</v>
      </c>
      <c r="I73" s="3" t="str">
        <f t="shared" si="5"/>
        <v>Jan</v>
      </c>
      <c r="J73" t="s">
        <v>95</v>
      </c>
    </row>
    <row r="74" hidden="1" spans="1:10">
      <c r="A74" t="s">
        <v>32</v>
      </c>
      <c r="B74" t="s">
        <v>35</v>
      </c>
      <c r="C74">
        <v>4</v>
      </c>
      <c r="D74">
        <f t="shared" si="6"/>
        <v>104</v>
      </c>
      <c r="E74" t="s">
        <v>34</v>
      </c>
      <c r="F74" t="s">
        <v>32</v>
      </c>
      <c r="G74">
        <v>3200</v>
      </c>
      <c r="H74" s="2">
        <v>46034</v>
      </c>
      <c r="I74" s="3" t="str">
        <f t="shared" si="5"/>
        <v>Jan</v>
      </c>
      <c r="J74" t="s">
        <v>95</v>
      </c>
    </row>
    <row r="75" hidden="1" spans="1:10">
      <c r="A75" t="s">
        <v>32</v>
      </c>
      <c r="B75" t="s">
        <v>33</v>
      </c>
      <c r="C75">
        <v>2</v>
      </c>
      <c r="D75">
        <f t="shared" si="6"/>
        <v>100</v>
      </c>
      <c r="E75" t="s">
        <v>34</v>
      </c>
      <c r="F75" t="s">
        <v>32</v>
      </c>
      <c r="G75">
        <v>3040</v>
      </c>
      <c r="H75" s="2">
        <v>46034</v>
      </c>
      <c r="I75" s="3" t="str">
        <f t="shared" si="5"/>
        <v>Jan</v>
      </c>
      <c r="J75" t="s">
        <v>95</v>
      </c>
    </row>
    <row r="76" spans="1:10">
      <c r="A76" t="s">
        <v>86</v>
      </c>
      <c r="B76" t="s">
        <v>11</v>
      </c>
      <c r="C76">
        <v>2</v>
      </c>
      <c r="D76">
        <f t="shared" si="6"/>
        <v>60</v>
      </c>
      <c r="E76" t="s">
        <v>30</v>
      </c>
      <c r="F76" t="s">
        <v>86</v>
      </c>
      <c r="G76">
        <v>5960</v>
      </c>
      <c r="H76" s="2">
        <v>46034</v>
      </c>
      <c r="I76" s="3" t="str">
        <f t="shared" si="5"/>
        <v>Jan</v>
      </c>
      <c r="J76" t="s">
        <v>95</v>
      </c>
    </row>
    <row r="77" spans="1:10">
      <c r="A77" t="s">
        <v>108</v>
      </c>
      <c r="B77" t="s">
        <v>11</v>
      </c>
      <c r="C77">
        <v>2</v>
      </c>
      <c r="D77">
        <f t="shared" si="6"/>
        <v>60</v>
      </c>
      <c r="E77" t="s">
        <v>30</v>
      </c>
      <c r="F77" t="s">
        <v>108</v>
      </c>
      <c r="G77">
        <v>2820</v>
      </c>
      <c r="H77" s="2">
        <v>46034</v>
      </c>
      <c r="I77" s="3" t="str">
        <f t="shared" si="5"/>
        <v>Jan</v>
      </c>
      <c r="J77" t="s">
        <v>95</v>
      </c>
    </row>
    <row r="78" spans="1:10">
      <c r="A78" t="s">
        <v>109</v>
      </c>
      <c r="B78" t="s">
        <v>11</v>
      </c>
      <c r="C78">
        <v>1</v>
      </c>
      <c r="D78">
        <f t="shared" si="6"/>
        <v>30</v>
      </c>
      <c r="E78" t="s">
        <v>30</v>
      </c>
      <c r="F78" t="s">
        <v>94</v>
      </c>
      <c r="G78">
        <v>3960</v>
      </c>
      <c r="H78" s="2">
        <v>46034</v>
      </c>
      <c r="I78" s="3" t="str">
        <f t="shared" si="5"/>
        <v>Jan</v>
      </c>
      <c r="J78" t="s">
        <v>95</v>
      </c>
    </row>
    <row r="79" spans="1:10">
      <c r="A79" t="s">
        <v>110</v>
      </c>
      <c r="B79" t="s">
        <v>11</v>
      </c>
      <c r="C79">
        <v>1</v>
      </c>
      <c r="D79">
        <f t="shared" si="6"/>
        <v>30</v>
      </c>
      <c r="E79" t="s">
        <v>30</v>
      </c>
      <c r="F79" t="s">
        <v>110</v>
      </c>
      <c r="G79">
        <v>2610</v>
      </c>
      <c r="H79" s="2">
        <v>46034</v>
      </c>
      <c r="I79" s="3" t="str">
        <f t="shared" si="5"/>
        <v>Jan</v>
      </c>
      <c r="J79" t="s">
        <v>95</v>
      </c>
    </row>
    <row r="80" hidden="1" spans="1:10">
      <c r="A80" t="s">
        <v>111</v>
      </c>
      <c r="B80" t="s">
        <v>24</v>
      </c>
      <c r="C80">
        <v>5</v>
      </c>
      <c r="D80">
        <f t="shared" si="6"/>
        <v>75</v>
      </c>
      <c r="E80" t="s">
        <v>25</v>
      </c>
      <c r="F80" t="s">
        <v>26</v>
      </c>
      <c r="G80">
        <v>9150</v>
      </c>
      <c r="H80" s="2">
        <v>46034</v>
      </c>
      <c r="I80" s="3" t="str">
        <f t="shared" si="5"/>
        <v>Jan</v>
      </c>
      <c r="J80" t="s">
        <v>95</v>
      </c>
    </row>
    <row r="81" hidden="1" spans="1:10">
      <c r="A81" t="s">
        <v>27</v>
      </c>
      <c r="B81" t="s">
        <v>24</v>
      </c>
      <c r="C81">
        <v>10</v>
      </c>
      <c r="D81">
        <f t="shared" si="6"/>
        <v>150</v>
      </c>
      <c r="E81" t="s">
        <v>25</v>
      </c>
      <c r="F81" t="s">
        <v>28</v>
      </c>
      <c r="G81">
        <v>20200</v>
      </c>
      <c r="H81" s="2">
        <v>46034</v>
      </c>
      <c r="I81" s="3" t="str">
        <f t="shared" si="5"/>
        <v>Jan</v>
      </c>
      <c r="J81" t="s">
        <v>95</v>
      </c>
    </row>
    <row r="82" hidden="1" spans="1:10">
      <c r="A82" t="s">
        <v>112</v>
      </c>
      <c r="B82" t="s">
        <v>24</v>
      </c>
      <c r="C82">
        <v>5</v>
      </c>
      <c r="D82">
        <f t="shared" si="6"/>
        <v>75</v>
      </c>
      <c r="E82" t="s">
        <v>25</v>
      </c>
      <c r="F82" t="s">
        <v>28</v>
      </c>
      <c r="G82">
        <v>10450</v>
      </c>
      <c r="H82" s="2">
        <v>46034</v>
      </c>
      <c r="I82" s="3" t="str">
        <f t="shared" si="5"/>
        <v>Jan</v>
      </c>
      <c r="J82" t="s">
        <v>95</v>
      </c>
    </row>
    <row r="83" hidden="1" spans="1:10">
      <c r="A83" t="s">
        <v>27</v>
      </c>
      <c r="B83" t="s">
        <v>76</v>
      </c>
      <c r="C83">
        <v>8</v>
      </c>
      <c r="D83">
        <f t="shared" si="6"/>
        <v>16</v>
      </c>
      <c r="E83" t="s">
        <v>25</v>
      </c>
      <c r="F83" t="s">
        <v>28</v>
      </c>
      <c r="G83">
        <v>2560</v>
      </c>
      <c r="H83" s="2">
        <v>46034</v>
      </c>
      <c r="I83" s="3" t="str">
        <f t="shared" si="5"/>
        <v>Jan</v>
      </c>
      <c r="J83" t="s">
        <v>95</v>
      </c>
    </row>
    <row r="84" hidden="1" spans="1:10">
      <c r="A84" t="s">
        <v>27</v>
      </c>
      <c r="B84" t="s">
        <v>76</v>
      </c>
      <c r="C84">
        <v>8</v>
      </c>
      <c r="D84">
        <f t="shared" si="6"/>
        <v>16</v>
      </c>
      <c r="E84" t="s">
        <v>25</v>
      </c>
      <c r="F84" t="s">
        <v>28</v>
      </c>
      <c r="G84">
        <v>2640</v>
      </c>
      <c r="H84" s="2">
        <v>46034</v>
      </c>
      <c r="I84" s="3" t="str">
        <f t="shared" si="5"/>
        <v>Jan</v>
      </c>
      <c r="J84" t="s">
        <v>95</v>
      </c>
    </row>
    <row r="85" hidden="1" spans="1:10">
      <c r="A85" t="s">
        <v>113</v>
      </c>
      <c r="B85" t="s">
        <v>55</v>
      </c>
      <c r="C85">
        <v>4</v>
      </c>
      <c r="D85">
        <f t="shared" si="6"/>
        <v>20</v>
      </c>
      <c r="E85" t="s">
        <v>25</v>
      </c>
      <c r="F85" t="s">
        <v>28</v>
      </c>
      <c r="G85">
        <v>4960</v>
      </c>
      <c r="H85" s="2">
        <v>46034</v>
      </c>
      <c r="I85" s="3" t="str">
        <f t="shared" si="5"/>
        <v>Jan</v>
      </c>
      <c r="J85" t="s">
        <v>95</v>
      </c>
    </row>
    <row r="86" spans="1:10">
      <c r="A86" t="s">
        <v>114</v>
      </c>
      <c r="B86" t="s">
        <v>51</v>
      </c>
      <c r="C86">
        <v>1</v>
      </c>
      <c r="D86">
        <f t="shared" si="6"/>
        <v>10</v>
      </c>
      <c r="E86" t="s">
        <v>30</v>
      </c>
      <c r="F86" t="s">
        <v>114</v>
      </c>
      <c r="G86">
        <v>1100</v>
      </c>
      <c r="H86" s="2">
        <v>46053</v>
      </c>
      <c r="I86" s="3" t="str">
        <f t="shared" ref="I86:I100" si="7">TEXT(H86,"mmm")</f>
        <v>Jan</v>
      </c>
      <c r="J86" t="s">
        <v>95</v>
      </c>
    </row>
    <row r="87" hidden="1" spans="1:10">
      <c r="A87" t="s">
        <v>77</v>
      </c>
      <c r="B87" t="s">
        <v>115</v>
      </c>
      <c r="C87">
        <v>1</v>
      </c>
      <c r="D87">
        <f t="shared" si="6"/>
        <v>12</v>
      </c>
      <c r="E87" t="s">
        <v>25</v>
      </c>
      <c r="F87" t="s">
        <v>26</v>
      </c>
      <c r="G87">
        <v>1644</v>
      </c>
      <c r="H87" s="2">
        <v>46053</v>
      </c>
      <c r="I87" s="3" t="str">
        <f t="shared" si="7"/>
        <v>Jan</v>
      </c>
      <c r="J87" t="s">
        <v>95</v>
      </c>
    </row>
    <row r="88" hidden="1" spans="1:10">
      <c r="A88" t="s">
        <v>85</v>
      </c>
      <c r="B88" t="s">
        <v>51</v>
      </c>
      <c r="C88">
        <v>1</v>
      </c>
      <c r="D88">
        <f t="shared" si="6"/>
        <v>10</v>
      </c>
      <c r="E88" t="s">
        <v>73</v>
      </c>
      <c r="F88" t="s">
        <v>85</v>
      </c>
      <c r="G88">
        <v>7500</v>
      </c>
      <c r="H88" s="2">
        <v>46053</v>
      </c>
      <c r="I88" s="3" t="str">
        <f t="shared" si="7"/>
        <v>Jan</v>
      </c>
      <c r="J88" t="s">
        <v>95</v>
      </c>
    </row>
    <row r="89" hidden="1" spans="1:10">
      <c r="A89" t="s">
        <v>77</v>
      </c>
      <c r="B89" t="s">
        <v>55</v>
      </c>
      <c r="C89">
        <v>2</v>
      </c>
      <c r="D89">
        <f t="shared" si="6"/>
        <v>10</v>
      </c>
      <c r="E89" t="s">
        <v>25</v>
      </c>
      <c r="F89" t="s">
        <v>26</v>
      </c>
      <c r="G89">
        <v>1370</v>
      </c>
      <c r="H89" s="2">
        <v>46053</v>
      </c>
      <c r="I89" s="3" t="str">
        <f t="shared" si="7"/>
        <v>Jan</v>
      </c>
      <c r="J89" t="s">
        <v>95</v>
      </c>
    </row>
    <row r="90" hidden="1" spans="1:10">
      <c r="A90" t="s">
        <v>80</v>
      </c>
      <c r="B90" t="s">
        <v>24</v>
      </c>
      <c r="C90">
        <v>5</v>
      </c>
      <c r="D90">
        <f t="shared" si="6"/>
        <v>75</v>
      </c>
      <c r="E90" t="s">
        <v>25</v>
      </c>
      <c r="F90" t="s">
        <v>26</v>
      </c>
      <c r="G90">
        <v>11150</v>
      </c>
      <c r="H90" s="2">
        <v>46053</v>
      </c>
      <c r="I90" s="3" t="str">
        <f t="shared" si="7"/>
        <v>Jan</v>
      </c>
      <c r="J90" t="s">
        <v>95</v>
      </c>
    </row>
    <row r="91" hidden="1" spans="1:10">
      <c r="A91" t="s">
        <v>27</v>
      </c>
      <c r="B91" t="s">
        <v>24</v>
      </c>
      <c r="C91">
        <v>10</v>
      </c>
      <c r="D91">
        <f t="shared" si="6"/>
        <v>150</v>
      </c>
      <c r="E91" t="s">
        <v>25</v>
      </c>
      <c r="F91" t="s">
        <v>28</v>
      </c>
      <c r="G91">
        <v>21300</v>
      </c>
      <c r="H91" s="2">
        <v>46053</v>
      </c>
      <c r="I91" s="3" t="str">
        <f t="shared" si="7"/>
        <v>Jan</v>
      </c>
      <c r="J91" t="s">
        <v>95</v>
      </c>
    </row>
    <row r="92" hidden="1" spans="1:10">
      <c r="A92" t="s">
        <v>80</v>
      </c>
      <c r="B92" t="s">
        <v>24</v>
      </c>
      <c r="C92">
        <v>6</v>
      </c>
      <c r="D92">
        <f t="shared" si="6"/>
        <v>90</v>
      </c>
      <c r="E92" t="s">
        <v>25</v>
      </c>
      <c r="F92" t="s">
        <v>28</v>
      </c>
      <c r="G92">
        <v>12870</v>
      </c>
      <c r="H92" s="2">
        <v>46053</v>
      </c>
      <c r="I92" s="3" t="str">
        <f t="shared" si="7"/>
        <v>Jan</v>
      </c>
      <c r="J92" t="s">
        <v>95</v>
      </c>
    </row>
    <row r="93" hidden="1" spans="1:10">
      <c r="A93" t="s">
        <v>111</v>
      </c>
      <c r="B93" t="s">
        <v>24</v>
      </c>
      <c r="C93">
        <v>5</v>
      </c>
      <c r="D93">
        <f t="shared" si="6"/>
        <v>75</v>
      </c>
      <c r="E93" t="s">
        <v>25</v>
      </c>
      <c r="F93" t="s">
        <v>26</v>
      </c>
      <c r="G93">
        <v>9900</v>
      </c>
      <c r="H93" s="2">
        <v>46053</v>
      </c>
      <c r="I93" s="3" t="str">
        <f t="shared" si="7"/>
        <v>Jan</v>
      </c>
      <c r="J93" t="s">
        <v>95</v>
      </c>
    </row>
    <row r="94" hidden="1" spans="1:10">
      <c r="A94" t="s">
        <v>80</v>
      </c>
      <c r="B94" t="s">
        <v>76</v>
      </c>
      <c r="C94">
        <v>12</v>
      </c>
      <c r="D94">
        <f t="shared" si="6"/>
        <v>24</v>
      </c>
      <c r="E94" t="s">
        <v>25</v>
      </c>
      <c r="F94" t="s">
        <v>26</v>
      </c>
      <c r="G94">
        <v>4176</v>
      </c>
      <c r="H94" s="2">
        <v>46053</v>
      </c>
      <c r="I94" s="3" t="str">
        <f t="shared" si="7"/>
        <v>Jan</v>
      </c>
      <c r="J94" t="s">
        <v>95</v>
      </c>
    </row>
    <row r="95" hidden="1" spans="1:10">
      <c r="A95" t="s">
        <v>89</v>
      </c>
      <c r="B95" t="s">
        <v>55</v>
      </c>
      <c r="C95">
        <v>1</v>
      </c>
      <c r="D95">
        <f t="shared" si="6"/>
        <v>5</v>
      </c>
      <c r="E95" t="s">
        <v>73</v>
      </c>
      <c r="F95" t="s">
        <v>89</v>
      </c>
      <c r="G95">
        <v>1500</v>
      </c>
      <c r="H95" s="2">
        <v>46053</v>
      </c>
      <c r="I95" s="3" t="str">
        <f t="shared" si="7"/>
        <v>Jan</v>
      </c>
      <c r="J95" t="s">
        <v>95</v>
      </c>
    </row>
    <row r="96" spans="1:10">
      <c r="A96" t="s">
        <v>105</v>
      </c>
      <c r="B96" t="s">
        <v>11</v>
      </c>
      <c r="C96">
        <v>4</v>
      </c>
      <c r="D96">
        <f t="shared" si="6"/>
        <v>120</v>
      </c>
      <c r="E96" t="s">
        <v>12</v>
      </c>
      <c r="F96" t="s">
        <v>106</v>
      </c>
      <c r="G96">
        <v>4680</v>
      </c>
      <c r="H96" s="2">
        <v>46053</v>
      </c>
      <c r="I96" s="3" t="str">
        <f t="shared" si="7"/>
        <v>Jan</v>
      </c>
      <c r="J96" t="s">
        <v>95</v>
      </c>
    </row>
    <row r="97" spans="1:10">
      <c r="A97" t="s">
        <v>86</v>
      </c>
      <c r="B97" t="s">
        <v>11</v>
      </c>
      <c r="C97">
        <v>2</v>
      </c>
      <c r="D97">
        <f t="shared" si="6"/>
        <v>60</v>
      </c>
      <c r="E97" t="s">
        <v>30</v>
      </c>
      <c r="F97" t="s">
        <v>86</v>
      </c>
      <c r="G97">
        <v>7080</v>
      </c>
      <c r="H97" s="2">
        <v>46053</v>
      </c>
      <c r="I97" s="3" t="str">
        <f t="shared" si="7"/>
        <v>Jan</v>
      </c>
      <c r="J97" t="s">
        <v>95</v>
      </c>
    </row>
    <row r="98" hidden="1" spans="1:10">
      <c r="A98" t="s">
        <v>116</v>
      </c>
      <c r="B98" t="s">
        <v>33</v>
      </c>
      <c r="C98">
        <v>1</v>
      </c>
      <c r="D98">
        <f t="shared" si="6"/>
        <v>50</v>
      </c>
      <c r="E98" t="s">
        <v>34</v>
      </c>
      <c r="F98" t="s">
        <v>116</v>
      </c>
      <c r="G98">
        <v>1500</v>
      </c>
      <c r="H98" s="2">
        <v>46053</v>
      </c>
      <c r="I98" s="3" t="str">
        <f t="shared" si="7"/>
        <v>Jan</v>
      </c>
      <c r="J98" t="s">
        <v>95</v>
      </c>
    </row>
    <row r="99" hidden="1" spans="1:10">
      <c r="A99" t="s">
        <v>59</v>
      </c>
      <c r="B99" t="s">
        <v>33</v>
      </c>
      <c r="C99">
        <v>1</v>
      </c>
      <c r="D99">
        <f t="shared" si="6"/>
        <v>50</v>
      </c>
      <c r="E99" t="s">
        <v>34</v>
      </c>
      <c r="F99" t="s">
        <v>59</v>
      </c>
      <c r="G99">
        <v>1620</v>
      </c>
      <c r="H99" s="2">
        <v>46053</v>
      </c>
      <c r="I99" s="3" t="str">
        <f t="shared" si="7"/>
        <v>Jan</v>
      </c>
      <c r="J99" t="s">
        <v>95</v>
      </c>
    </row>
    <row r="100" hidden="1" spans="1:10">
      <c r="A100" t="s">
        <v>77</v>
      </c>
      <c r="B100" t="s">
        <v>24</v>
      </c>
      <c r="C100">
        <v>2</v>
      </c>
      <c r="D100">
        <f t="shared" si="6"/>
        <v>30</v>
      </c>
      <c r="E100" t="s">
        <v>25</v>
      </c>
      <c r="F100" t="s">
        <v>26</v>
      </c>
      <c r="G100">
        <v>4300</v>
      </c>
      <c r="H100" s="2">
        <v>46053</v>
      </c>
      <c r="I100" s="3" t="str">
        <f t="shared" si="7"/>
        <v>Jan</v>
      </c>
      <c r="J100" t="s">
        <v>95</v>
      </c>
    </row>
    <row r="101" hidden="1" spans="1:10">
      <c r="A101" t="s">
        <v>64</v>
      </c>
      <c r="B101" t="s">
        <v>20</v>
      </c>
      <c r="C101">
        <v>25</v>
      </c>
      <c r="E101" t="s">
        <v>21</v>
      </c>
      <c r="F101" t="s">
        <v>65</v>
      </c>
      <c r="G101">
        <v>5300</v>
      </c>
      <c r="H101" s="4" t="s">
        <v>117</v>
      </c>
      <c r="I101" s="3" t="s">
        <v>118</v>
      </c>
      <c r="J101" t="s">
        <v>14</v>
      </c>
    </row>
  </sheetData>
  <autoFilter xmlns:etc="http://www.wps.cn/officeDocument/2017/etCustomData" ref="A1:J101" etc:filterBottomFollowUsedRange="0">
    <filterColumn colId="4">
      <filters>
        <filter val="Rice"/>
        <filter val="Grain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 Gupta</cp:lastModifiedBy>
  <dcterms:created xsi:type="dcterms:W3CDTF">2025-07-21T09:59:00Z</dcterms:created>
  <dcterms:modified xsi:type="dcterms:W3CDTF">2026-03-17T12:29:13Z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59F41CB1E17942339494BF567EC0D980_12</vt:lpwstr>
  </property>
  <property fmtid="{D5CDD505-2E9C-101B-9397-08002B2CF9AE}" pid="3" name="KSOProductBuildVer">
    <vt:lpwstr>1033-12.2.0.23196</vt:lpwstr>
  </property>
</Properties>
</file>